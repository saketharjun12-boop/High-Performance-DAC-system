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3" customWidth="1" min="4" max="4"/>
    <col width="25" customWidth="1" min="5" max="5"/>
    <col width="21" customWidth="1" min="6" max="6"/>
    <col width="27" customWidth="1" min="7" max="7"/>
    <col width="27" customWidth="1" min="8" max="8"/>
    <col width="15" customWidth="1" min="9" max="9"/>
  </cols>
  <sheetData>
    <row r="1">
      <c r="A1" s="1" t="inlineStr">
        <is>
          <t>Rail</t>
        </is>
      </c>
      <c r="B1" s="1" t="inlineStr">
        <is>
          <t>Device</t>
        </is>
      </c>
      <c r="C1" s="1" t="inlineStr">
        <is>
          <t>Quantity</t>
        </is>
      </c>
      <c r="D1" s="1" t="inlineStr">
        <is>
          <t>Typical Current (mA)</t>
        </is>
      </c>
      <c r="E1" s="1" t="inlineStr">
        <is>
          <t>Maximum Current (mA)</t>
        </is>
      </c>
      <c r="F1" s="1" t="inlineStr">
        <is>
          <t>Total Maximum (mA)</t>
        </is>
      </c>
      <c r="G1" s="1" t="inlineStr">
        <is>
          <t>Design Margin (30%) (mA)</t>
        </is>
      </c>
      <c r="H1" s="1" t="inlineStr">
        <is>
          <t>Power @ Rail Voltage (W)</t>
        </is>
      </c>
      <c r="I1" s="1" t="inlineStr">
        <is>
          <t>Notes</t>
        </is>
      </c>
    </row>
    <row r="2">
      <c r="A2" t="inlineStr">
        <is>
          <t>5VA</t>
        </is>
      </c>
      <c r="B2" t="inlineStr">
        <is>
          <t>AK4499EX Analog / Reference</t>
        </is>
      </c>
      <c r="C2" t="n">
        <v>1</v>
      </c>
      <c r="D2" t="inlineStr"/>
      <c r="E2" t="inlineStr"/>
      <c r="F2">
        <f>C2*E2</f>
        <v/>
      </c>
      <c r="G2">
        <f>F2*1.3</f>
        <v/>
      </c>
      <c r="H2">
        <f>(A2)</f>
        <v/>
      </c>
      <c r="I2" t="inlineStr"/>
    </row>
    <row r="3">
      <c r="A3" t="inlineStr">
        <is>
          <t>3.3V</t>
        </is>
      </c>
      <c r="B3" t="inlineStr">
        <is>
          <t>ESP32-S3</t>
        </is>
      </c>
      <c r="C3" t="n">
        <v>1</v>
      </c>
      <c r="D3" t="inlineStr"/>
      <c r="E3" t="inlineStr"/>
      <c r="F3">
        <f>C3*E3</f>
        <v/>
      </c>
      <c r="G3">
        <f>F3*1.3</f>
        <v/>
      </c>
      <c r="H3" t="inlineStr"/>
      <c r="I3" t="inlineStr"/>
    </row>
    <row r="4">
      <c r="A4" t="inlineStr">
        <is>
          <t>3.3V</t>
        </is>
      </c>
      <c r="B4" t="inlineStr">
        <is>
          <t>AK4191 PVDD</t>
        </is>
      </c>
      <c r="C4" t="n">
        <v>1</v>
      </c>
      <c r="D4" t="inlineStr"/>
      <c r="E4" t="inlineStr"/>
      <c r="F4">
        <f>C4*E4</f>
        <v/>
      </c>
      <c r="G4">
        <f>F4*1.3</f>
        <v/>
      </c>
      <c r="H4" t="inlineStr"/>
      <c r="I4" t="inlineStr"/>
    </row>
    <row r="5">
      <c r="A5" t="inlineStr">
        <is>
          <t>1.8V</t>
        </is>
      </c>
      <c r="B5" t="inlineStr">
        <is>
          <t>AK4191 DVDD</t>
        </is>
      </c>
      <c r="C5" t="n">
        <v>1</v>
      </c>
      <c r="D5" t="inlineStr"/>
      <c r="E5" t="inlineStr"/>
      <c r="F5">
        <f>C5*E5</f>
        <v/>
      </c>
      <c r="G5">
        <f>F5*1.3</f>
        <v/>
      </c>
      <c r="H5" t="inlineStr"/>
      <c r="I5" t="inlineStr"/>
    </row>
    <row r="6">
      <c r="A6" t="inlineStr">
        <is>
          <t>1.8V</t>
        </is>
      </c>
      <c r="B6" t="inlineStr">
        <is>
          <t>AK4499EX TVDD</t>
        </is>
      </c>
      <c r="C6" t="n">
        <v>1</v>
      </c>
      <c r="D6" t="inlineStr"/>
      <c r="E6" t="inlineStr"/>
      <c r="F6">
        <f>C6*E6</f>
        <v/>
      </c>
      <c r="G6">
        <f>F6*1.3</f>
        <v/>
      </c>
      <c r="H6" t="inlineStr"/>
      <c r="I6" t="inlineStr"/>
    </row>
    <row r="7">
      <c r="A7" t="inlineStr">
        <is>
          <t>1.2V</t>
        </is>
      </c>
      <c r="B7" t="inlineStr">
        <is>
          <t>Core Supply (if used)</t>
        </is>
      </c>
      <c r="C7" t="n">
        <v>1</v>
      </c>
      <c r="D7" t="inlineStr"/>
      <c r="E7" t="inlineStr"/>
      <c r="F7">
        <f>C7*E7</f>
        <v/>
      </c>
      <c r="G7">
        <f>F7*1.3</f>
        <v/>
      </c>
      <c r="H7" t="inlineStr"/>
      <c r="I7" t="inlineStr"/>
    </row>
    <row r="8">
      <c r="A8" t="inlineStr">
        <is>
          <t>+15V</t>
        </is>
      </c>
      <c r="B8" t="inlineStr">
        <is>
          <t>OPA1612</t>
        </is>
      </c>
      <c r="C8" t="n">
        <v>1</v>
      </c>
      <c r="D8" t="inlineStr"/>
      <c r="E8" t="inlineStr"/>
      <c r="F8">
        <f>C8*E8</f>
        <v/>
      </c>
      <c r="G8">
        <f>F8*1.3</f>
        <v/>
      </c>
      <c r="H8" t="inlineStr"/>
      <c r="I8" t="inlineStr"/>
    </row>
    <row r="9">
      <c r="A9" t="inlineStr">
        <is>
          <t>-15V</t>
        </is>
      </c>
      <c r="B9" t="inlineStr">
        <is>
          <t>OPA1612</t>
        </is>
      </c>
      <c r="C9" t="n">
        <v>1</v>
      </c>
      <c r="D9" t="inlineStr"/>
      <c r="E9" t="inlineStr"/>
      <c r="F9">
        <f>C9*E9</f>
        <v/>
      </c>
      <c r="G9">
        <f>F9*1.3</f>
        <v/>
      </c>
      <c r="H9" t="inlineStr"/>
      <c r="I9" t="inlineStr"/>
    </row>
    <row r="10">
      <c r="A10" t="inlineStr">
        <is>
          <t>+15V</t>
        </is>
      </c>
      <c r="B10" t="inlineStr">
        <is>
          <t>OPA1622</t>
        </is>
      </c>
      <c r="C10" t="n">
        <v>1</v>
      </c>
      <c r="D10" t="inlineStr"/>
      <c r="E10" t="inlineStr"/>
      <c r="F10">
        <f>C10*E10</f>
        <v/>
      </c>
      <c r="G10">
        <f>F10*1.3</f>
        <v/>
      </c>
      <c r="H10" t="inlineStr"/>
      <c r="I10" t="inlineStr"/>
    </row>
    <row r="11">
      <c r="A11" t="inlineStr">
        <is>
          <t>-15V</t>
        </is>
      </c>
      <c r="B11" t="inlineStr">
        <is>
          <t>OPA1622</t>
        </is>
      </c>
      <c r="C11" t="n">
        <v>1</v>
      </c>
      <c r="D11" t="inlineStr"/>
      <c r="E11" t="inlineStr"/>
      <c r="F11">
        <f>C11*E11</f>
        <v/>
      </c>
      <c r="G11">
        <f>F11*1.3</f>
        <v/>
      </c>
      <c r="H11" t="inlineStr"/>
      <c r="I11" t="inlineStr"/>
    </row>
    <row r="12">
      <c r="A12" t="inlineStr">
        <is>
          <t>5V/3.3V</t>
        </is>
      </c>
      <c r="B12" t="inlineStr">
        <is>
          <t>Relay / Control</t>
        </is>
      </c>
      <c r="C12" t="n">
        <v>1</v>
      </c>
      <c r="D12" t="inlineStr"/>
      <c r="E12" t="inlineStr"/>
      <c r="F12">
        <f>C12*E12</f>
        <v/>
      </c>
      <c r="G12">
        <f>F12*1.3</f>
        <v/>
      </c>
      <c r="H12" t="inlineStr"/>
      <c r="I12" t="inlineStr"/>
    </row>
    <row r="13">
      <c r="A13" t="inlineStr">
        <is>
          <t>5V</t>
        </is>
      </c>
      <c r="B13" t="inlineStr">
        <is>
          <t>Miscellaneous</t>
        </is>
      </c>
      <c r="C13" t="n">
        <v>1</v>
      </c>
      <c r="D13" t="inlineStr"/>
      <c r="E13" t="inlineStr"/>
      <c r="F13">
        <f>C13*E13</f>
        <v/>
      </c>
      <c r="G13">
        <f>F13*1.3</f>
        <v/>
      </c>
      <c r="H13" t="inlineStr"/>
      <c r="I13" t="inlineStr"/>
    </row>
    <row r="14"/>
    <row r="15">
      <c r="E15" t="inlineStr">
        <is>
          <t>Total Max Current (mA)</t>
        </is>
      </c>
      <c r="F15">
        <f>SUM(F2:F13)</f>
        <v/>
      </c>
      <c r="G15" t="inlineStr">
        <is>
          <t>Total w/ Margin (mA)</t>
        </is>
      </c>
      <c r="H15">
        <f>SUM(G2:G13)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2026-07-31T02:42:47Z</dcterms:created>
  <dcterms:modified xmlns:dcterms="http://purl.org/dc/terms/" xmlns:xsi="http://www.w3.org/2001/XMLSchema-instance" xsi:type="dcterms:W3CDTF">2026-07-31T02:42:47Z</dcterms:modified>
</cp:coreProperties>
</file>